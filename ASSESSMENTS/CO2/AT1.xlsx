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eisenberg Raja\Downloads\"/>
    </mc:Choice>
  </mc:AlternateContent>
  <xr:revisionPtr revIDLastSave="0" documentId="8_{594F4A1C-329C-44C8-BC1C-A0E2BBB0B9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 Covariance Analysis" sheetId="1" r:id="rId1"/>
    <sheet name="2. Equal-Frequency Binning" sheetId="2" r:id="rId2"/>
    <sheet name="3. Equal-Width Binning" sheetId="3" r:id="rId3"/>
    <sheet name="4. Bin Medians" sheetId="4" r:id="rId4"/>
    <sheet name="5. Standardiza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1" i="5" l="1"/>
  <c r="B30" i="5"/>
  <c r="B29" i="5"/>
  <c r="B28" i="5"/>
  <c r="B17" i="5"/>
  <c r="C12" i="5" s="1"/>
  <c r="B16" i="5"/>
  <c r="K8" i="4"/>
  <c r="C13" i="4" s="1"/>
  <c r="K7" i="4"/>
  <c r="F12" i="4" s="1"/>
  <c r="K6" i="4"/>
  <c r="I11" i="4" s="1"/>
  <c r="B8" i="3"/>
  <c r="B13" i="3" s="1"/>
  <c r="K8" i="2"/>
  <c r="J14" i="2" s="1"/>
  <c r="K7" i="2"/>
  <c r="G13" i="2" s="1"/>
  <c r="K6" i="2"/>
  <c r="D12" i="2" s="1"/>
  <c r="B13" i="1"/>
  <c r="C10" i="1"/>
  <c r="E5" i="1" s="1"/>
  <c r="B10" i="1"/>
  <c r="D5" i="1" s="1"/>
  <c r="F5" i="1" s="1"/>
  <c r="E12" i="5" l="1"/>
  <c r="D12" i="5"/>
  <c r="J11" i="4"/>
  <c r="D13" i="4"/>
  <c r="D6" i="1"/>
  <c r="E6" i="1"/>
  <c r="F12" i="2"/>
  <c r="B11" i="3"/>
  <c r="C12" i="4"/>
  <c r="F13" i="4"/>
  <c r="D7" i="1"/>
  <c r="F7" i="1" s="1"/>
  <c r="H12" i="2"/>
  <c r="B14" i="2"/>
  <c r="B12" i="3"/>
  <c r="D12" i="4"/>
  <c r="G13" i="4"/>
  <c r="E7" i="1"/>
  <c r="I12" i="2"/>
  <c r="C14" i="2"/>
  <c r="C12" i="3"/>
  <c r="B11" i="4"/>
  <c r="E12" i="4"/>
  <c r="H13" i="4"/>
  <c r="C9" i="5"/>
  <c r="C13" i="5"/>
  <c r="E12" i="2"/>
  <c r="H13" i="2"/>
  <c r="B14" i="1"/>
  <c r="I13" i="2"/>
  <c r="B13" i="2"/>
  <c r="E14" i="2"/>
  <c r="C13" i="3"/>
  <c r="D11" i="4"/>
  <c r="G12" i="4"/>
  <c r="J13" i="4"/>
  <c r="C13" i="2"/>
  <c r="F14" i="2"/>
  <c r="E11" i="4"/>
  <c r="H12" i="4"/>
  <c r="C6" i="5"/>
  <c r="C10" i="5"/>
  <c r="C14" i="5"/>
  <c r="D13" i="2"/>
  <c r="G14" i="2"/>
  <c r="F11" i="4"/>
  <c r="I12" i="4"/>
  <c r="B12" i="2"/>
  <c r="E13" i="2"/>
  <c r="H14" i="2"/>
  <c r="G11" i="4"/>
  <c r="J12" i="4"/>
  <c r="C12" i="2"/>
  <c r="F13" i="2"/>
  <c r="I14" i="2"/>
  <c r="H11" i="4"/>
  <c r="B13" i="4"/>
  <c r="C7" i="5"/>
  <c r="C11" i="5"/>
  <c r="C15" i="5"/>
  <c r="B12" i="4"/>
  <c r="E13" i="4"/>
  <c r="C8" i="5"/>
  <c r="B15" i="1"/>
  <c r="G12" i="2"/>
  <c r="J13" i="2"/>
  <c r="C11" i="3"/>
  <c r="J12" i="2"/>
  <c r="D14" i="2"/>
  <c r="C11" i="4"/>
  <c r="I13" i="4"/>
  <c r="D8" i="1"/>
  <c r="F8" i="1" s="1"/>
  <c r="E8" i="1"/>
  <c r="D11" i="5" l="1"/>
  <c r="E11" i="5"/>
  <c r="D15" i="5"/>
  <c r="E15" i="5"/>
  <c r="B24" i="3"/>
  <c r="B30" i="3"/>
  <c r="B18" i="3"/>
  <c r="B27" i="3"/>
  <c r="B31" i="3"/>
  <c r="B19" i="3"/>
  <c r="B26" i="3"/>
  <c r="B33" i="3"/>
  <c r="B21" i="3"/>
  <c r="B28" i="3"/>
  <c r="B16" i="3"/>
  <c r="B23" i="3"/>
  <c r="B25" i="3"/>
  <c r="B32" i="3"/>
  <c r="B20" i="3"/>
  <c r="B22" i="3"/>
  <c r="B29" i="3"/>
  <c r="B17" i="3"/>
  <c r="E14" i="5"/>
  <c r="D14" i="5"/>
  <c r="D7" i="5"/>
  <c r="C29" i="5"/>
  <c r="E7" i="5"/>
  <c r="E10" i="5"/>
  <c r="D10" i="5"/>
  <c r="C28" i="5"/>
  <c r="E6" i="5"/>
  <c r="B22" i="5" s="1"/>
  <c r="B23" i="5" s="1"/>
  <c r="B24" i="5" s="1"/>
  <c r="D6" i="5"/>
  <c r="C30" i="5"/>
  <c r="E8" i="5"/>
  <c r="D8" i="5"/>
  <c r="F6" i="1"/>
  <c r="F11" i="1" s="1"/>
  <c r="D13" i="5"/>
  <c r="E13" i="5"/>
  <c r="D9" i="5"/>
  <c r="C31" i="5"/>
  <c r="E9" i="5"/>
  <c r="B18" i="1" l="1"/>
  <c r="B17" i="1"/>
  <c r="B20" i="1" s="1"/>
  <c r="E33" i="3"/>
  <c r="F33" i="3"/>
  <c r="F26" i="3"/>
  <c r="E26" i="3"/>
  <c r="D31" i="5"/>
  <c r="D28" i="5"/>
  <c r="E28" i="5" s="1"/>
  <c r="D30" i="5"/>
  <c r="D29" i="5"/>
  <c r="E29" i="5" s="1"/>
  <c r="F17" i="3"/>
  <c r="E17" i="3"/>
  <c r="C17" i="3" s="1"/>
  <c r="D17" i="3" s="1"/>
  <c r="F19" i="3"/>
  <c r="E19" i="3"/>
  <c r="C19" i="3" s="1"/>
  <c r="D19" i="3" s="1"/>
  <c r="F32" i="3"/>
  <c r="E32" i="3"/>
  <c r="C32" i="3" s="1"/>
  <c r="D32" i="3" s="1"/>
  <c r="E30" i="5"/>
  <c r="F29" i="3"/>
  <c r="E29" i="3"/>
  <c r="C29" i="3" s="1"/>
  <c r="D29" i="3" s="1"/>
  <c r="F31" i="3"/>
  <c r="E31" i="3"/>
  <c r="E31" i="5"/>
  <c r="B19" i="5"/>
  <c r="B20" i="5" s="1"/>
  <c r="F22" i="3"/>
  <c r="E22" i="3"/>
  <c r="C22" i="3" s="1"/>
  <c r="D22" i="3" s="1"/>
  <c r="E27" i="3"/>
  <c r="F27" i="3"/>
  <c r="F18" i="3"/>
  <c r="E18" i="3"/>
  <c r="C18" i="3" s="1"/>
  <c r="D18" i="3" s="1"/>
  <c r="F30" i="3"/>
  <c r="E30" i="3"/>
  <c r="C30" i="3" s="1"/>
  <c r="D30" i="3" s="1"/>
  <c r="F25" i="3"/>
  <c r="E25" i="3"/>
  <c r="C25" i="3" s="1"/>
  <c r="D25" i="3" s="1"/>
  <c r="E24" i="3"/>
  <c r="F24" i="3"/>
  <c r="F23" i="3"/>
  <c r="E23" i="3"/>
  <c r="C23" i="3" s="1"/>
  <c r="D23" i="3" s="1"/>
  <c r="F16" i="3"/>
  <c r="E16" i="3"/>
  <c r="C16" i="3" s="1"/>
  <c r="D16" i="3" s="1"/>
  <c r="F28" i="3"/>
  <c r="E28" i="3"/>
  <c r="C28" i="3" s="1"/>
  <c r="D28" i="3" s="1"/>
  <c r="F20" i="3"/>
  <c r="E20" i="3"/>
  <c r="C20" i="3" s="1"/>
  <c r="D20" i="3" s="1"/>
  <c r="E21" i="3"/>
  <c r="F21" i="3"/>
  <c r="C24" i="3" l="1"/>
  <c r="D24" i="3" s="1"/>
  <c r="C31" i="3"/>
  <c r="D31" i="3" s="1"/>
  <c r="C26" i="3"/>
  <c r="D26" i="3" s="1"/>
  <c r="C21" i="3"/>
  <c r="D21" i="3" s="1"/>
  <c r="C27" i="3"/>
  <c r="D27" i="3" s="1"/>
  <c r="C33" i="3"/>
  <c r="D33" i="3" s="1"/>
</calcChain>
</file>

<file path=xl/sharedStrings.xml><?xml version="1.0" encoding="utf-8"?>
<sst xmlns="http://schemas.openxmlformats.org/spreadsheetml/2006/main" count="97" uniqueCount="72">
  <si>
    <t>Q2. Data Smoothing - Equal-Frequency (Equi-Depth) Binning</t>
  </si>
  <si>
    <t>Q1. Covariance Analysis - Health Insurance</t>
  </si>
  <si>
    <t>Q4. Data Reduction using Bin Medians - Medical Supply Costs</t>
  </si>
  <si>
    <t>Q3. Equal-Width Binning - BMI Risk Categorization</t>
  </si>
  <si>
    <t>Costs sorted ascending (n=27). Partitioned into 3 equal-frequency bins of 9 values each; each value replaced by its bin median.</t>
  </si>
  <si>
    <t>Sorted BMI values (n=18). Min=18.5, Max=39.5, Range=21, 3 bins -&gt; width = 21/3 = 7</t>
  </si>
  <si>
    <t>Original sorted Systolic BP data (n = 27). Partitioned into 3 equal-frequency bins of 9 values each, then smoothed by bin mean.</t>
  </si>
  <si>
    <t>Bin</t>
  </si>
  <si>
    <t>Min BMI</t>
  </si>
  <si>
    <t>Value 1</t>
  </si>
  <si>
    <t>Value 2</t>
  </si>
  <si>
    <t>Value 3</t>
  </si>
  <si>
    <t>Value 4</t>
  </si>
  <si>
    <t>Value 5</t>
  </si>
  <si>
    <t>Value 6</t>
  </si>
  <si>
    <t>Value 7</t>
  </si>
  <si>
    <t>Value 8</t>
  </si>
  <si>
    <t>Value 9</t>
  </si>
  <si>
    <t>Max BMI</t>
  </si>
  <si>
    <t>Bin Median</t>
  </si>
  <si>
    <t>Number of bins</t>
  </si>
  <si>
    <t>Bin 1</t>
  </si>
  <si>
    <t>Premium Increase % (xi) and Claims per 100 Policyholders (yi)</t>
  </si>
  <si>
    <t>Bin Mean</t>
  </si>
  <si>
    <t>Bin Width</t>
  </si>
  <si>
    <t>xi (Premium % Increase)</t>
  </si>
  <si>
    <t>yi (Claims per 100)</t>
  </si>
  <si>
    <t>xi - mean(x)</t>
  </si>
  <si>
    <t>yi - mean(y)</t>
  </si>
  <si>
    <t>(xi-mean x)(yi-mean y)</t>
  </si>
  <si>
    <t>Bin 2</t>
  </si>
  <si>
    <t>Lower Boundary</t>
  </si>
  <si>
    <t>Upper Boundary</t>
  </si>
  <si>
    <t>Bin 3</t>
  </si>
  <si>
    <t>Smoothed Data (each value replaced by its Bin Median)</t>
  </si>
  <si>
    <t>Bin 1 (smoothed)</t>
  </si>
  <si>
    <t>Bin 2 (smoothed)</t>
  </si>
  <si>
    <t>Original BMI</t>
  </si>
  <si>
    <t>Smoothed Data (each value replaced by its Bin Mean)</t>
  </si>
  <si>
    <t>Assigned Bin</t>
  </si>
  <si>
    <t>Closest Boundary</t>
  </si>
  <si>
    <t>Smoothed Value</t>
  </si>
  <si>
    <t>Lower Bound</t>
  </si>
  <si>
    <t>Upper Bound</t>
  </si>
  <si>
    <t>Bin 3 (smoothed)</t>
  </si>
  <si>
    <t>Bin ranges: Bin 1 = obs 1-9, Bin 2 = obs 10-18, Bin 3 = obs 19-27 (sorted cost data).</t>
  </si>
  <si>
    <t>Mean</t>
  </si>
  <si>
    <t>Sum</t>
  </si>
  <si>
    <t>n (number of pairs)</t>
  </si>
  <si>
    <t>Mean of x</t>
  </si>
  <si>
    <t>Bin ranges: Bin 1 = obs 1-9 (110-124), Bin 2 = obs 10-18 (124-138), Bin 3 = obs 19-27 (138-180).</t>
  </si>
  <si>
    <t>Mean of y</t>
  </si>
  <si>
    <t>Covariance (population, divide by n)</t>
  </si>
  <si>
    <t>Covariance (sample, divide by n-1)</t>
  </si>
  <si>
    <t>Interpretation</t>
  </si>
  <si>
    <t>Q5. Standardization of Patient Age Data</t>
  </si>
  <si>
    <t>Insured individuals' ages (n=10)</t>
  </si>
  <si>
    <t>#</t>
  </si>
  <si>
    <t>Age (xi)</t>
  </si>
  <si>
    <t>xi - mean</t>
  </si>
  <si>
    <t>|xi - mean|</t>
  </si>
  <si>
    <t>(xi-mean)^2</t>
  </si>
  <si>
    <t>n</t>
  </si>
  <si>
    <t>(a) Sum of |xi - mean|</t>
  </si>
  <si>
    <t>(a) Mean Absolute Deviation (MAD) = Sum|xi-mean| / n</t>
  </si>
  <si>
    <t>Sum of squared deviations</t>
  </si>
  <si>
    <t>Population Variance = SumSq / n</t>
  </si>
  <si>
    <t>Population Standard Deviation = SQRT(Variance)</t>
  </si>
  <si>
    <t>(b) Z-scores for first four observations: z = (xi - mean) / SD</t>
  </si>
  <si>
    <t>SD</t>
  </si>
  <si>
    <t>Z-score</t>
  </si>
  <si>
    <t>Note: Z-score uses the population standard deviation (n in denominator), consistent with the MAD calculation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</si>
</sst>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8">
    <font>
      <sz val="11"/>
      <color theme="1"/>
      <name val="Calibri"/>
      <scheme val="minor"/>
    </font>
    <font>
      <b/>
      <sz val="14"/>
      <color rgb="FFFFFFFF"/>
      <name val="Arial"/>
    </font>
    <font>
      <sz val="11"/>
      <name val="Calibri"/>
    </font>
    <font>
      <i/>
      <sz val="11"/>
      <color theme="1"/>
      <name val="Arial"/>
    </font>
    <font>
      <b/>
      <sz val="11"/>
      <color theme="1"/>
      <name val="Arial"/>
    </font>
    <font>
      <sz val="11"/>
      <color theme="1"/>
      <name val="Calibri"/>
      <scheme val="minor"/>
    </font>
    <font>
      <sz val="11"/>
      <color theme="1"/>
      <name val="Arial"/>
    </font>
    <font>
      <i/>
      <sz val="9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/>
    <xf numFmtId="0" fontId="4" fillId="3" borderId="4" xfId="0" applyFont="1" applyFill="1" applyBorder="1" applyAlignment="1">
      <alignment horizontal="center"/>
    </xf>
    <xf numFmtId="0" fontId="5" fillId="0" borderId="0" xfId="0" applyFont="1"/>
    <xf numFmtId="164" fontId="4" fillId="4" borderId="4" xfId="0" applyNumberFormat="1" applyFont="1" applyFill="1" applyBorder="1"/>
    <xf numFmtId="0" fontId="6" fillId="0" borderId="4" xfId="0" applyFont="1" applyBorder="1" applyAlignment="1">
      <alignment horizontal="center"/>
    </xf>
    <xf numFmtId="0" fontId="4" fillId="4" borderId="4" xfId="0" applyFont="1" applyFill="1" applyBorder="1"/>
    <xf numFmtId="1" fontId="4" fillId="4" borderId="4" xfId="0" applyNumberFormat="1" applyFont="1" applyFill="1" applyBorder="1"/>
    <xf numFmtId="2" fontId="4" fillId="4" borderId="4" xfId="0" applyNumberFormat="1" applyFont="1" applyFill="1" applyBorder="1"/>
    <xf numFmtId="165" fontId="6" fillId="0" borderId="4" xfId="0" applyNumberFormat="1" applyFont="1" applyBorder="1" applyAlignment="1">
      <alignment horizontal="center"/>
    </xf>
    <xf numFmtId="164" fontId="6" fillId="0" borderId="4" xfId="0" applyNumberFormat="1" applyFont="1" applyBorder="1" applyAlignment="1">
      <alignment horizontal="center"/>
    </xf>
    <xf numFmtId="0" fontId="4" fillId="0" borderId="0" xfId="0" applyFont="1"/>
    <xf numFmtId="1" fontId="6" fillId="0" borderId="4" xfId="0" applyNumberFormat="1" applyFont="1" applyBorder="1" applyAlignment="1">
      <alignment horizontal="center"/>
    </xf>
    <xf numFmtId="166" fontId="6" fillId="0" borderId="4" xfId="0" applyNumberFormat="1" applyFont="1" applyBorder="1" applyAlignment="1">
      <alignment horizontal="center"/>
    </xf>
    <xf numFmtId="0" fontId="4" fillId="3" borderId="5" xfId="0" applyFont="1" applyFill="1" applyBorder="1"/>
    <xf numFmtId="2" fontId="6" fillId="0" borderId="4" xfId="0" applyNumberFormat="1" applyFont="1" applyBorder="1" applyAlignment="1">
      <alignment horizontal="center"/>
    </xf>
    <xf numFmtId="165" fontId="4" fillId="4" borderId="4" xfId="0" applyNumberFormat="1" applyFont="1" applyFill="1" applyBorder="1"/>
    <xf numFmtId="166" fontId="4" fillId="4" borderId="4" xfId="0" applyNumberFormat="1" applyFont="1" applyFill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0" borderId="0" xfId="0" applyFont="1" applyAlignment="1">
      <alignment vertical="center" wrapText="1"/>
    </xf>
    <xf numFmtId="0" fontId="0" fillId="0" borderId="0" xfId="0"/>
    <xf numFmtId="0" fontId="3" fillId="0" borderId="0" xfId="0" applyFont="1" applyAlignment="1">
      <alignment wrapText="1"/>
    </xf>
    <xf numFmtId="0" fontId="4" fillId="0" borderId="0" xfId="0" applyFont="1"/>
    <xf numFmtId="0" fontId="7" fillId="0" borderId="0" xfId="0" applyFont="1"/>
    <xf numFmtId="0" fontId="3" fillId="0" borderId="0" xfId="0" applyFont="1"/>
    <xf numFmtId="0" fontId="7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selection sqref="A1:F1"/>
    </sheetView>
  </sheetViews>
  <sheetFormatPr defaultColWidth="14.44140625" defaultRowHeight="15" customHeight="1"/>
  <cols>
    <col min="1" max="1" width="35.6640625" customWidth="1"/>
    <col min="2" max="2" width="16" customWidth="1"/>
    <col min="3" max="3" width="22" customWidth="1"/>
    <col min="4" max="5" width="16" customWidth="1"/>
    <col min="6" max="6" width="28.33203125" customWidth="1"/>
    <col min="7" max="26" width="8.6640625" customWidth="1"/>
  </cols>
  <sheetData>
    <row r="1" spans="1:6" ht="25.5" customHeight="1">
      <c r="A1" s="18" t="s">
        <v>1</v>
      </c>
      <c r="B1" s="19"/>
      <c r="C1" s="19"/>
      <c r="D1" s="19"/>
      <c r="E1" s="19"/>
      <c r="F1" s="20"/>
    </row>
    <row r="3" spans="1:6" ht="14.4">
      <c r="A3" s="1" t="s">
        <v>22</v>
      </c>
    </row>
    <row r="4" spans="1:6" ht="15.75" customHeight="1"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</row>
    <row r="5" spans="1:6" ht="15.75" customHeight="1">
      <c r="B5" s="5">
        <v>3.2</v>
      </c>
      <c r="C5" s="5">
        <v>15</v>
      </c>
      <c r="D5" s="9">
        <f t="shared" ref="D5:D8" si="0">B5-$B$10</f>
        <v>-1.1749999999999998</v>
      </c>
      <c r="E5" s="9">
        <f t="shared" ref="E5:E8" si="1">C5-$C$10</f>
        <v>-4.5</v>
      </c>
      <c r="F5" s="13">
        <f t="shared" ref="F5:F8" si="2">D5*E5</f>
        <v>5.2874999999999996</v>
      </c>
    </row>
    <row r="6" spans="1:6" ht="15.75" customHeight="1">
      <c r="B6" s="5">
        <v>4</v>
      </c>
      <c r="C6" s="5">
        <v>18</v>
      </c>
      <c r="D6" s="9">
        <f t="shared" si="0"/>
        <v>-0.375</v>
      </c>
      <c r="E6" s="9">
        <f t="shared" si="1"/>
        <v>-1.5</v>
      </c>
      <c r="F6" s="13">
        <f t="shared" si="2"/>
        <v>0.5625</v>
      </c>
    </row>
    <row r="7" spans="1:6" ht="15.75" customHeight="1">
      <c r="B7" s="5">
        <v>5.5</v>
      </c>
      <c r="C7" s="5">
        <v>25</v>
      </c>
      <c r="D7" s="9">
        <f t="shared" si="0"/>
        <v>1.125</v>
      </c>
      <c r="E7" s="9">
        <f t="shared" si="1"/>
        <v>5.5</v>
      </c>
      <c r="F7" s="13">
        <f t="shared" si="2"/>
        <v>6.1875</v>
      </c>
    </row>
    <row r="8" spans="1:6" ht="15.75" customHeight="1">
      <c r="B8" s="5">
        <v>4.8</v>
      </c>
      <c r="C8" s="5">
        <v>20</v>
      </c>
      <c r="D8" s="9">
        <f t="shared" si="0"/>
        <v>0.42499999999999982</v>
      </c>
      <c r="E8" s="9">
        <f t="shared" si="1"/>
        <v>0.5</v>
      </c>
      <c r="F8" s="13">
        <f t="shared" si="2"/>
        <v>0.21249999999999991</v>
      </c>
    </row>
    <row r="9" spans="1:6" ht="15.75" customHeight="1"/>
    <row r="10" spans="1:6" ht="15.75" customHeight="1">
      <c r="A10" s="5" t="s">
        <v>46</v>
      </c>
      <c r="B10" s="9">
        <f t="shared" ref="B10:C10" si="3">AVERAGE(B5:B8)</f>
        <v>4.375</v>
      </c>
      <c r="C10" s="9">
        <f t="shared" si="3"/>
        <v>19.5</v>
      </c>
    </row>
    <row r="11" spans="1:6" ht="15.75" customHeight="1">
      <c r="A11" s="5" t="s">
        <v>47</v>
      </c>
      <c r="F11" s="13">
        <f>SUM(F5:F8)</f>
        <v>12.25</v>
      </c>
    </row>
    <row r="13" spans="1:6" ht="14.4">
      <c r="A13" s="3" t="s">
        <v>48</v>
      </c>
      <c r="B13" s="6">
        <f>COUNT(B5:B8)</f>
        <v>4</v>
      </c>
    </row>
    <row r="14" spans="1:6" ht="14.4">
      <c r="A14" s="3" t="s">
        <v>49</v>
      </c>
      <c r="B14" s="16">
        <f>B10</f>
        <v>4.375</v>
      </c>
    </row>
    <row r="15" spans="1:6" ht="14.4">
      <c r="A15" s="3" t="s">
        <v>51</v>
      </c>
      <c r="B15" s="16">
        <f>C10</f>
        <v>19.5</v>
      </c>
    </row>
    <row r="17" spans="1:6" ht="14.4">
      <c r="A17" s="3" t="s">
        <v>52</v>
      </c>
      <c r="B17" s="17">
        <f>F11/B13</f>
        <v>3.0625</v>
      </c>
    </row>
    <row r="18" spans="1:6" ht="14.4">
      <c r="A18" s="3" t="s">
        <v>53</v>
      </c>
      <c r="B18" s="17">
        <f>F11/(B13-1)</f>
        <v>4.083333333333333</v>
      </c>
    </row>
    <row r="20" spans="1:6" ht="30" customHeight="1">
      <c r="A20" s="11" t="s">
        <v>54</v>
      </c>
      <c r="B20" s="21" t="str">
        <f>IF(B17&gt;0,"Positive relationship: as premium increase % rises, claims per 100 policyholders also tend to rise.",IF(B17&lt;0,"Inverse relationship.","No linear relationship."))</f>
        <v>Positive relationship: as premium increase % rises, claims per 100 policyholders also tend to rise.</v>
      </c>
      <c r="C20" s="22"/>
      <c r="D20" s="22"/>
      <c r="E20" s="22"/>
      <c r="F20" s="22"/>
    </row>
    <row r="21" spans="1:6" ht="15.75" customHeight="1"/>
    <row r="22" spans="1:6" ht="15.75" customHeight="1"/>
    <row r="23" spans="1:6" ht="15.75" customHeight="1"/>
    <row r="24" spans="1:6" ht="15.75" customHeight="1"/>
    <row r="25" spans="1:6" ht="15.75" customHeight="1"/>
    <row r="26" spans="1:6" ht="15.75" customHeight="1"/>
    <row r="27" spans="1:6" ht="15.75" customHeight="1"/>
    <row r="28" spans="1:6" ht="15.75" customHeight="1"/>
    <row r="29" spans="1:6" ht="15.75" customHeight="1"/>
    <row r="30" spans="1:6" ht="15.75" customHeight="1"/>
    <row r="31" spans="1:6" ht="15.75" customHeight="1"/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B20:F20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workbookViewId="0"/>
  </sheetViews>
  <sheetFormatPr defaultColWidth="14.44140625" defaultRowHeight="15" customHeight="1"/>
  <cols>
    <col min="1" max="1" width="49.109375" customWidth="1"/>
    <col min="2" max="2" width="11.5546875" customWidth="1"/>
    <col min="3" max="3" width="12" customWidth="1"/>
    <col min="4" max="4" width="14.6640625" customWidth="1"/>
    <col min="5" max="5" width="10.33203125" customWidth="1"/>
    <col min="6" max="6" width="11.109375" customWidth="1"/>
    <col min="7" max="7" width="11.5546875" customWidth="1"/>
    <col min="8" max="8" width="8.88671875" customWidth="1"/>
    <col min="9" max="9" width="10.109375" customWidth="1"/>
    <col min="10" max="10" width="8.88671875" customWidth="1"/>
    <col min="11" max="11" width="12.44140625" customWidth="1"/>
    <col min="12" max="26" width="8.6640625" customWidth="1"/>
  </cols>
  <sheetData>
    <row r="1" spans="1:11" ht="25.5" customHeight="1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20"/>
    </row>
    <row r="3" spans="1:11" ht="27.75" customHeight="1">
      <c r="A3" s="23" t="s">
        <v>6</v>
      </c>
      <c r="B3" s="22"/>
      <c r="C3" s="22"/>
      <c r="D3" s="22"/>
      <c r="E3" s="22"/>
      <c r="F3" s="22"/>
      <c r="G3" s="22"/>
      <c r="H3" s="22"/>
      <c r="I3" s="22"/>
      <c r="J3" s="22"/>
    </row>
    <row r="5" spans="1:11" ht="14.4">
      <c r="A5" s="2" t="s">
        <v>7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17</v>
      </c>
      <c r="K5" s="2" t="s">
        <v>23</v>
      </c>
    </row>
    <row r="6" spans="1:11" ht="14.4">
      <c r="A6" s="5" t="s">
        <v>21</v>
      </c>
      <c r="B6" s="5">
        <v>110</v>
      </c>
      <c r="C6" s="5">
        <v>112</v>
      </c>
      <c r="D6" s="5">
        <v>115</v>
      </c>
      <c r="E6" s="5">
        <v>115</v>
      </c>
      <c r="F6" s="5">
        <v>118</v>
      </c>
      <c r="G6" s="5">
        <v>120</v>
      </c>
      <c r="H6" s="5">
        <v>120</v>
      </c>
      <c r="I6" s="5">
        <v>122</v>
      </c>
      <c r="J6" s="5">
        <v>124</v>
      </c>
      <c r="K6" s="8">
        <f t="shared" ref="K6:K8" si="0">AVERAGE(B6:J6)</f>
        <v>117.33333333333333</v>
      </c>
    </row>
    <row r="7" spans="1:11" ht="14.4">
      <c r="A7" s="5" t="s">
        <v>30</v>
      </c>
      <c r="B7" s="5">
        <v>124</v>
      </c>
      <c r="C7" s="5">
        <v>126</v>
      </c>
      <c r="D7" s="5">
        <v>126</v>
      </c>
      <c r="E7" s="5">
        <v>126</v>
      </c>
      <c r="F7" s="5">
        <v>126</v>
      </c>
      <c r="G7" s="5">
        <v>130</v>
      </c>
      <c r="H7" s="5">
        <v>135</v>
      </c>
      <c r="I7" s="5">
        <v>135</v>
      </c>
      <c r="J7" s="5">
        <v>138</v>
      </c>
      <c r="K7" s="8">
        <f t="shared" si="0"/>
        <v>129.55555555555554</v>
      </c>
    </row>
    <row r="8" spans="1:11" ht="14.4">
      <c r="A8" s="5" t="s">
        <v>33</v>
      </c>
      <c r="B8" s="5">
        <v>138</v>
      </c>
      <c r="C8" s="5">
        <v>138</v>
      </c>
      <c r="D8" s="5">
        <v>138</v>
      </c>
      <c r="E8" s="5">
        <v>140</v>
      </c>
      <c r="F8" s="5">
        <v>145</v>
      </c>
      <c r="G8" s="5">
        <v>150</v>
      </c>
      <c r="H8" s="5">
        <v>152</v>
      </c>
      <c r="I8" s="5">
        <v>160</v>
      </c>
      <c r="J8" s="5">
        <v>180</v>
      </c>
      <c r="K8" s="8">
        <f t="shared" si="0"/>
        <v>149</v>
      </c>
    </row>
    <row r="10" spans="1:11" ht="14.4">
      <c r="A10" s="11" t="s">
        <v>23</v>
      </c>
    </row>
    <row r="11" spans="1:11" ht="14.4">
      <c r="A11" s="24" t="s">
        <v>38</v>
      </c>
      <c r="B11" s="22"/>
      <c r="C11" s="22"/>
      <c r="D11" s="22"/>
      <c r="E11" s="22"/>
      <c r="F11" s="22"/>
      <c r="G11" s="22"/>
      <c r="H11" s="22"/>
      <c r="I11" s="22"/>
      <c r="J11" s="22"/>
    </row>
    <row r="12" spans="1:11" ht="14.4">
      <c r="A12" s="5" t="s">
        <v>35</v>
      </c>
      <c r="B12" s="15">
        <f t="shared" ref="B12:J12" si="1">$K$6</f>
        <v>117.33333333333333</v>
      </c>
      <c r="C12" s="15">
        <f t="shared" si="1"/>
        <v>117.33333333333333</v>
      </c>
      <c r="D12" s="15">
        <f t="shared" si="1"/>
        <v>117.33333333333333</v>
      </c>
      <c r="E12" s="15">
        <f t="shared" si="1"/>
        <v>117.33333333333333</v>
      </c>
      <c r="F12" s="15">
        <f t="shared" si="1"/>
        <v>117.33333333333333</v>
      </c>
      <c r="G12" s="15">
        <f t="shared" si="1"/>
        <v>117.33333333333333</v>
      </c>
      <c r="H12" s="15">
        <f t="shared" si="1"/>
        <v>117.33333333333333</v>
      </c>
      <c r="I12" s="15">
        <f t="shared" si="1"/>
        <v>117.33333333333333</v>
      </c>
      <c r="J12" s="15">
        <f t="shared" si="1"/>
        <v>117.33333333333333</v>
      </c>
    </row>
    <row r="13" spans="1:11" ht="14.4">
      <c r="A13" s="5" t="s">
        <v>36</v>
      </c>
      <c r="B13" s="15">
        <f t="shared" ref="B13:J13" si="2">$K$7</f>
        <v>129.55555555555554</v>
      </c>
      <c r="C13" s="15">
        <f t="shared" si="2"/>
        <v>129.55555555555554</v>
      </c>
      <c r="D13" s="15">
        <f t="shared" si="2"/>
        <v>129.55555555555554</v>
      </c>
      <c r="E13" s="15">
        <f t="shared" si="2"/>
        <v>129.55555555555554</v>
      </c>
      <c r="F13" s="15">
        <f t="shared" si="2"/>
        <v>129.55555555555554</v>
      </c>
      <c r="G13" s="15">
        <f t="shared" si="2"/>
        <v>129.55555555555554</v>
      </c>
      <c r="H13" s="15">
        <f t="shared" si="2"/>
        <v>129.55555555555554</v>
      </c>
      <c r="I13" s="15">
        <f t="shared" si="2"/>
        <v>129.55555555555554</v>
      </c>
      <c r="J13" s="15">
        <f t="shared" si="2"/>
        <v>129.55555555555554</v>
      </c>
    </row>
    <row r="14" spans="1:11" ht="14.4">
      <c r="A14" s="5" t="s">
        <v>44</v>
      </c>
      <c r="B14" s="15">
        <f t="shared" ref="B14:J14" si="3">$K$8</f>
        <v>149</v>
      </c>
      <c r="C14" s="15">
        <f t="shared" si="3"/>
        <v>149</v>
      </c>
      <c r="D14" s="15">
        <f t="shared" si="3"/>
        <v>149</v>
      </c>
      <c r="E14" s="15">
        <f t="shared" si="3"/>
        <v>149</v>
      </c>
      <c r="F14" s="15">
        <f t="shared" si="3"/>
        <v>149</v>
      </c>
      <c r="G14" s="15">
        <f t="shared" si="3"/>
        <v>149</v>
      </c>
      <c r="H14" s="15">
        <f t="shared" si="3"/>
        <v>149</v>
      </c>
      <c r="I14" s="15">
        <f t="shared" si="3"/>
        <v>149</v>
      </c>
      <c r="J14" s="15">
        <f t="shared" si="3"/>
        <v>149</v>
      </c>
    </row>
    <row r="17" spans="1:10" ht="14.4">
      <c r="A17" s="25" t="s">
        <v>50</v>
      </c>
      <c r="B17" s="22"/>
      <c r="C17" s="22"/>
      <c r="D17" s="22"/>
      <c r="E17" s="22"/>
      <c r="F17" s="22"/>
      <c r="G17" s="22"/>
      <c r="H17" s="22"/>
      <c r="I17" s="22"/>
      <c r="J17" s="22"/>
    </row>
    <row r="21" spans="1:10" ht="15.75" customHeight="1"/>
    <row r="22" spans="1:10" ht="15.75" customHeight="1"/>
    <row r="23" spans="1:10" ht="15.75" customHeight="1"/>
    <row r="24" spans="1:10" ht="15.75" customHeight="1"/>
    <row r="25" spans="1:10" ht="15.75" customHeight="1"/>
    <row r="26" spans="1:10" ht="15.75" customHeight="1"/>
    <row r="27" spans="1:10" ht="15.75" customHeight="1"/>
    <row r="28" spans="1:10" ht="15.75" customHeight="1"/>
    <row r="29" spans="1:10" ht="15.75" customHeight="1"/>
    <row r="30" spans="1:10" ht="15.75" customHeight="1"/>
    <row r="31" spans="1:10" ht="15.75" customHeight="1"/>
    <row r="32" spans="1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J1"/>
    <mergeCell ref="A3:J3"/>
    <mergeCell ref="A11:J11"/>
    <mergeCell ref="A17:J17"/>
  </mergeCell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/>
  </sheetViews>
  <sheetFormatPr defaultColWidth="14.44140625" defaultRowHeight="15" customHeight="1"/>
  <cols>
    <col min="1" max="1" width="20.88671875" customWidth="1"/>
    <col min="2" max="2" width="21.44140625" customWidth="1"/>
    <col min="3" max="3" width="22.44140625" customWidth="1"/>
    <col min="4" max="4" width="18.5546875" customWidth="1"/>
    <col min="5" max="5" width="18.44140625" customWidth="1"/>
    <col min="6" max="6" width="16" customWidth="1"/>
    <col min="7" max="8" width="6" customWidth="1"/>
    <col min="9" max="26" width="8.6640625" customWidth="1"/>
  </cols>
  <sheetData>
    <row r="1" spans="1:8" ht="25.5" customHeight="1">
      <c r="A1" s="18" t="s">
        <v>3</v>
      </c>
      <c r="B1" s="19"/>
      <c r="C1" s="19"/>
      <c r="D1" s="19"/>
      <c r="E1" s="19"/>
      <c r="F1" s="19"/>
      <c r="G1" s="19"/>
      <c r="H1" s="20"/>
    </row>
    <row r="3" spans="1:8" ht="14.4">
      <c r="A3" s="26" t="s">
        <v>5</v>
      </c>
      <c r="B3" s="22"/>
      <c r="C3" s="22"/>
      <c r="D3" s="22"/>
      <c r="E3" s="22"/>
      <c r="F3" s="22"/>
      <c r="G3" s="22"/>
      <c r="H3" s="22"/>
    </row>
    <row r="5" spans="1:8" ht="14.4">
      <c r="A5" s="3" t="s">
        <v>8</v>
      </c>
      <c r="B5" s="4">
        <v>18.5</v>
      </c>
    </row>
    <row r="6" spans="1:8" ht="14.4">
      <c r="A6" s="3" t="s">
        <v>18</v>
      </c>
      <c r="B6" s="4">
        <v>39.5</v>
      </c>
    </row>
    <row r="7" spans="1:8" ht="14.4">
      <c r="A7" s="3" t="s">
        <v>20</v>
      </c>
      <c r="B7" s="6">
        <v>3</v>
      </c>
    </row>
    <row r="8" spans="1:8" ht="14.4">
      <c r="A8" s="3" t="s">
        <v>24</v>
      </c>
      <c r="B8" s="8">
        <f>ROUND((B6-B5)/B7,2)</f>
        <v>7</v>
      </c>
    </row>
    <row r="10" spans="1:8" ht="14.4">
      <c r="A10" s="2" t="s">
        <v>7</v>
      </c>
      <c r="B10" s="2" t="s">
        <v>31</v>
      </c>
      <c r="C10" s="2" t="s">
        <v>32</v>
      </c>
    </row>
    <row r="11" spans="1:8" ht="14.4">
      <c r="A11" s="5" t="s">
        <v>21</v>
      </c>
      <c r="B11" s="10">
        <f>$B$5+(0)*$B$8</f>
        <v>18.5</v>
      </c>
      <c r="C11" s="10">
        <f>$B$5+(1)*$B$8</f>
        <v>25.5</v>
      </c>
    </row>
    <row r="12" spans="1:8" ht="14.4">
      <c r="A12" s="5" t="s">
        <v>30</v>
      </c>
      <c r="B12" s="10">
        <f>$B$5+(1)*$B$8</f>
        <v>25.5</v>
      </c>
      <c r="C12" s="10">
        <f>$B$5+(2)*$B$8</f>
        <v>32.5</v>
      </c>
    </row>
    <row r="13" spans="1:8" ht="14.4">
      <c r="A13" s="5" t="s">
        <v>33</v>
      </c>
      <c r="B13" s="10">
        <f>$B$5+(2)*$B$8</f>
        <v>32.5</v>
      </c>
      <c r="C13" s="10">
        <f>$B$5+(3)*$B$8</f>
        <v>39.5</v>
      </c>
    </row>
    <row r="15" spans="1:8" ht="14.4">
      <c r="A15" s="2" t="s">
        <v>37</v>
      </c>
      <c r="B15" s="2" t="s">
        <v>39</v>
      </c>
      <c r="C15" s="2" t="s">
        <v>40</v>
      </c>
      <c r="D15" s="2" t="s">
        <v>41</v>
      </c>
      <c r="E15" s="14" t="s">
        <v>42</v>
      </c>
      <c r="F15" s="14" t="s">
        <v>43</v>
      </c>
    </row>
    <row r="16" spans="1:8" ht="14.4">
      <c r="A16" s="5">
        <v>18.5</v>
      </c>
      <c r="B16" s="5" t="str">
        <f t="shared" ref="B16:B33" si="0">IF(A16&lt;$C$11,"Bin 1",IF(A16&lt;$C$12,"Bin 2","Bin 3"))</f>
        <v>Bin 1</v>
      </c>
      <c r="C16" s="10">
        <f t="shared" ref="C16:C33" si="1">IF(ABS(A16-E16)&lt;=ABS(A16-F16),E16,F16)</f>
        <v>18.5</v>
      </c>
      <c r="D16" s="10">
        <f t="shared" ref="D16:D33" si="2">C16</f>
        <v>18.5</v>
      </c>
      <c r="E16" s="10">
        <f t="shared" ref="E16:E33" si="3">IF(B16="Bin 1",$B$11,IF(B16="Bin 2",$B$12,$B$13))</f>
        <v>18.5</v>
      </c>
      <c r="F16" s="10">
        <f t="shared" ref="F16:F33" si="4">IF(B16="Bin 1",$C$11,IF(B16="Bin 2",$C$12,$C$13))</f>
        <v>25.5</v>
      </c>
    </row>
    <row r="17" spans="1:6" ht="14.4">
      <c r="A17" s="5">
        <v>19.2</v>
      </c>
      <c r="B17" s="5" t="str">
        <f t="shared" si="0"/>
        <v>Bin 1</v>
      </c>
      <c r="C17" s="10">
        <f t="shared" si="1"/>
        <v>18.5</v>
      </c>
      <c r="D17" s="10">
        <f t="shared" si="2"/>
        <v>18.5</v>
      </c>
      <c r="E17" s="10">
        <f t="shared" si="3"/>
        <v>18.5</v>
      </c>
      <c r="F17" s="10">
        <f t="shared" si="4"/>
        <v>25.5</v>
      </c>
    </row>
    <row r="18" spans="1:6" ht="14.4">
      <c r="A18" s="5">
        <v>21.8</v>
      </c>
      <c r="B18" s="5" t="str">
        <f t="shared" si="0"/>
        <v>Bin 1</v>
      </c>
      <c r="C18" s="10">
        <f t="shared" si="1"/>
        <v>18.5</v>
      </c>
      <c r="D18" s="10">
        <f t="shared" si="2"/>
        <v>18.5</v>
      </c>
      <c r="E18" s="10">
        <f t="shared" si="3"/>
        <v>18.5</v>
      </c>
      <c r="F18" s="10">
        <f t="shared" si="4"/>
        <v>25.5</v>
      </c>
    </row>
    <row r="19" spans="1:6" ht="14.4">
      <c r="A19" s="5">
        <v>24.9</v>
      </c>
      <c r="B19" s="5" t="str">
        <f t="shared" si="0"/>
        <v>Bin 1</v>
      </c>
      <c r="C19" s="10">
        <f t="shared" si="1"/>
        <v>25.5</v>
      </c>
      <c r="D19" s="10">
        <f t="shared" si="2"/>
        <v>25.5</v>
      </c>
      <c r="E19" s="10">
        <f t="shared" si="3"/>
        <v>18.5</v>
      </c>
      <c r="F19" s="10">
        <f t="shared" si="4"/>
        <v>25.5</v>
      </c>
    </row>
    <row r="20" spans="1:6" ht="14.4">
      <c r="A20" s="5">
        <v>25.5</v>
      </c>
      <c r="B20" s="5" t="str">
        <f t="shared" si="0"/>
        <v>Bin 2</v>
      </c>
      <c r="C20" s="10">
        <f t="shared" si="1"/>
        <v>25.5</v>
      </c>
      <c r="D20" s="10">
        <f t="shared" si="2"/>
        <v>25.5</v>
      </c>
      <c r="E20" s="10">
        <f t="shared" si="3"/>
        <v>25.5</v>
      </c>
      <c r="F20" s="10">
        <f t="shared" si="4"/>
        <v>32.5</v>
      </c>
    </row>
    <row r="21" spans="1:6" ht="15.75" customHeight="1">
      <c r="A21" s="5">
        <v>26.2</v>
      </c>
      <c r="B21" s="5" t="str">
        <f t="shared" si="0"/>
        <v>Bin 2</v>
      </c>
      <c r="C21" s="10">
        <f t="shared" si="1"/>
        <v>25.5</v>
      </c>
      <c r="D21" s="10">
        <f t="shared" si="2"/>
        <v>25.5</v>
      </c>
      <c r="E21" s="10">
        <f t="shared" si="3"/>
        <v>25.5</v>
      </c>
      <c r="F21" s="10">
        <f t="shared" si="4"/>
        <v>32.5</v>
      </c>
    </row>
    <row r="22" spans="1:6" ht="15.75" customHeight="1">
      <c r="A22" s="5">
        <v>26.4</v>
      </c>
      <c r="B22" s="5" t="str">
        <f t="shared" si="0"/>
        <v>Bin 2</v>
      </c>
      <c r="C22" s="10">
        <f t="shared" si="1"/>
        <v>25.5</v>
      </c>
      <c r="D22" s="10">
        <f t="shared" si="2"/>
        <v>25.5</v>
      </c>
      <c r="E22" s="10">
        <f t="shared" si="3"/>
        <v>25.5</v>
      </c>
      <c r="F22" s="10">
        <f t="shared" si="4"/>
        <v>32.5</v>
      </c>
    </row>
    <row r="23" spans="1:6" ht="15.75" customHeight="1">
      <c r="A23" s="5">
        <v>27.8</v>
      </c>
      <c r="B23" s="5" t="str">
        <f t="shared" si="0"/>
        <v>Bin 2</v>
      </c>
      <c r="C23" s="10">
        <f t="shared" si="1"/>
        <v>25.5</v>
      </c>
      <c r="D23" s="10">
        <f t="shared" si="2"/>
        <v>25.5</v>
      </c>
      <c r="E23" s="10">
        <f t="shared" si="3"/>
        <v>25.5</v>
      </c>
      <c r="F23" s="10">
        <f t="shared" si="4"/>
        <v>32.5</v>
      </c>
    </row>
    <row r="24" spans="1:6" ht="15.75" customHeight="1">
      <c r="A24" s="5">
        <v>29.2</v>
      </c>
      <c r="B24" s="5" t="str">
        <f t="shared" si="0"/>
        <v>Bin 2</v>
      </c>
      <c r="C24" s="10">
        <f t="shared" si="1"/>
        <v>32.5</v>
      </c>
      <c r="D24" s="10">
        <f t="shared" si="2"/>
        <v>32.5</v>
      </c>
      <c r="E24" s="10">
        <f t="shared" si="3"/>
        <v>25.5</v>
      </c>
      <c r="F24" s="10">
        <f t="shared" si="4"/>
        <v>32.5</v>
      </c>
    </row>
    <row r="25" spans="1:6" ht="15.75" customHeight="1">
      <c r="A25" s="5">
        <v>30.2</v>
      </c>
      <c r="B25" s="5" t="str">
        <f t="shared" si="0"/>
        <v>Bin 2</v>
      </c>
      <c r="C25" s="10">
        <f t="shared" si="1"/>
        <v>32.5</v>
      </c>
      <c r="D25" s="10">
        <f t="shared" si="2"/>
        <v>32.5</v>
      </c>
      <c r="E25" s="10">
        <f t="shared" si="3"/>
        <v>25.5</v>
      </c>
      <c r="F25" s="10">
        <f t="shared" si="4"/>
        <v>32.5</v>
      </c>
    </row>
    <row r="26" spans="1:6" ht="15.75" customHeight="1">
      <c r="A26" s="5">
        <v>30.4</v>
      </c>
      <c r="B26" s="5" t="str">
        <f t="shared" si="0"/>
        <v>Bin 2</v>
      </c>
      <c r="C26" s="10">
        <f t="shared" si="1"/>
        <v>32.5</v>
      </c>
      <c r="D26" s="10">
        <f t="shared" si="2"/>
        <v>32.5</v>
      </c>
      <c r="E26" s="10">
        <f t="shared" si="3"/>
        <v>25.5</v>
      </c>
      <c r="F26" s="10">
        <f t="shared" si="4"/>
        <v>32.5</v>
      </c>
    </row>
    <row r="27" spans="1:6" ht="15.75" customHeight="1">
      <c r="A27" s="5">
        <v>31.9</v>
      </c>
      <c r="B27" s="5" t="str">
        <f t="shared" si="0"/>
        <v>Bin 2</v>
      </c>
      <c r="C27" s="10">
        <f t="shared" si="1"/>
        <v>32.5</v>
      </c>
      <c r="D27" s="10">
        <f t="shared" si="2"/>
        <v>32.5</v>
      </c>
      <c r="E27" s="10">
        <f t="shared" si="3"/>
        <v>25.5</v>
      </c>
      <c r="F27" s="10">
        <f t="shared" si="4"/>
        <v>32.5</v>
      </c>
    </row>
    <row r="28" spans="1:6" ht="15.75" customHeight="1">
      <c r="A28" s="5">
        <v>32.4</v>
      </c>
      <c r="B28" s="5" t="str">
        <f t="shared" si="0"/>
        <v>Bin 2</v>
      </c>
      <c r="C28" s="10">
        <f t="shared" si="1"/>
        <v>32.5</v>
      </c>
      <c r="D28" s="10">
        <f t="shared" si="2"/>
        <v>32.5</v>
      </c>
      <c r="E28" s="10">
        <f t="shared" si="3"/>
        <v>25.5</v>
      </c>
      <c r="F28" s="10">
        <f t="shared" si="4"/>
        <v>32.5</v>
      </c>
    </row>
    <row r="29" spans="1:6" ht="15.75" customHeight="1">
      <c r="A29" s="5">
        <v>33.1</v>
      </c>
      <c r="B29" s="5" t="str">
        <f t="shared" si="0"/>
        <v>Bin 3</v>
      </c>
      <c r="C29" s="10">
        <f t="shared" si="1"/>
        <v>32.5</v>
      </c>
      <c r="D29" s="10">
        <f t="shared" si="2"/>
        <v>32.5</v>
      </c>
      <c r="E29" s="10">
        <f t="shared" si="3"/>
        <v>32.5</v>
      </c>
      <c r="F29" s="10">
        <f t="shared" si="4"/>
        <v>39.5</v>
      </c>
    </row>
    <row r="30" spans="1:6" ht="15.75" customHeight="1">
      <c r="A30" s="5">
        <v>33.6</v>
      </c>
      <c r="B30" s="5" t="str">
        <f t="shared" si="0"/>
        <v>Bin 3</v>
      </c>
      <c r="C30" s="10">
        <f t="shared" si="1"/>
        <v>32.5</v>
      </c>
      <c r="D30" s="10">
        <f t="shared" si="2"/>
        <v>32.5</v>
      </c>
      <c r="E30" s="10">
        <f t="shared" si="3"/>
        <v>32.5</v>
      </c>
      <c r="F30" s="10">
        <f t="shared" si="4"/>
        <v>39.5</v>
      </c>
    </row>
    <row r="31" spans="1:6" ht="15.75" customHeight="1">
      <c r="A31" s="5">
        <v>34.700000000000003</v>
      </c>
      <c r="B31" s="5" t="str">
        <f t="shared" si="0"/>
        <v>Bin 3</v>
      </c>
      <c r="C31" s="10">
        <f t="shared" si="1"/>
        <v>32.5</v>
      </c>
      <c r="D31" s="10">
        <f t="shared" si="2"/>
        <v>32.5</v>
      </c>
      <c r="E31" s="10">
        <f t="shared" si="3"/>
        <v>32.5</v>
      </c>
      <c r="F31" s="10">
        <f t="shared" si="4"/>
        <v>39.5</v>
      </c>
    </row>
    <row r="32" spans="1:6" ht="15.75" customHeight="1">
      <c r="A32" s="5">
        <v>38.200000000000003</v>
      </c>
      <c r="B32" s="5" t="str">
        <f t="shared" si="0"/>
        <v>Bin 3</v>
      </c>
      <c r="C32" s="10">
        <f t="shared" si="1"/>
        <v>39.5</v>
      </c>
      <c r="D32" s="10">
        <f t="shared" si="2"/>
        <v>39.5</v>
      </c>
      <c r="E32" s="10">
        <f t="shared" si="3"/>
        <v>32.5</v>
      </c>
      <c r="F32" s="10">
        <f t="shared" si="4"/>
        <v>39.5</v>
      </c>
    </row>
    <row r="33" spans="1:6" ht="15.75" customHeight="1">
      <c r="A33" s="5">
        <v>39.5</v>
      </c>
      <c r="B33" s="5" t="str">
        <f t="shared" si="0"/>
        <v>Bin 3</v>
      </c>
      <c r="C33" s="10">
        <f t="shared" si="1"/>
        <v>39.5</v>
      </c>
      <c r="D33" s="10">
        <f t="shared" si="2"/>
        <v>39.5</v>
      </c>
      <c r="E33" s="10">
        <f t="shared" si="3"/>
        <v>32.5</v>
      </c>
      <c r="F33" s="10">
        <f t="shared" si="4"/>
        <v>39.5</v>
      </c>
    </row>
    <row r="34" spans="1:6" ht="15.75" customHeight="1"/>
    <row r="35" spans="1:6" ht="15.75" customHeight="1"/>
    <row r="36" spans="1:6" ht="15.75" customHeight="1"/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3:H3"/>
  </mergeCell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"/>
  <sheetViews>
    <sheetView workbookViewId="0"/>
  </sheetViews>
  <sheetFormatPr defaultColWidth="14.44140625" defaultRowHeight="15" customHeight="1"/>
  <cols>
    <col min="1" max="1" width="22.88671875" customWidth="1"/>
    <col min="2" max="2" width="17.88671875" customWidth="1"/>
    <col min="3" max="4" width="17.109375" customWidth="1"/>
    <col min="5" max="5" width="20.88671875" customWidth="1"/>
    <col min="6" max="6" width="14.44140625" customWidth="1"/>
    <col min="7" max="7" width="14" customWidth="1"/>
    <col min="8" max="8" width="9.6640625" customWidth="1"/>
    <col min="9" max="9" width="12" customWidth="1"/>
    <col min="10" max="10" width="10.33203125" customWidth="1"/>
    <col min="11" max="11" width="12.6640625" customWidth="1"/>
    <col min="12" max="26" width="8.6640625" customWidth="1"/>
  </cols>
  <sheetData>
    <row r="1" spans="1:11" ht="25.5" customHeight="1">
      <c r="A1" s="18" t="s">
        <v>2</v>
      </c>
      <c r="B1" s="19"/>
      <c r="C1" s="19"/>
      <c r="D1" s="19"/>
      <c r="E1" s="19"/>
      <c r="F1" s="19"/>
      <c r="G1" s="19"/>
      <c r="H1" s="19"/>
      <c r="I1" s="19"/>
      <c r="J1" s="20"/>
    </row>
    <row r="3" spans="1:11" ht="27.75" customHeight="1">
      <c r="A3" s="23" t="s">
        <v>4</v>
      </c>
      <c r="B3" s="22"/>
      <c r="C3" s="22"/>
      <c r="D3" s="22"/>
      <c r="E3" s="22"/>
      <c r="F3" s="22"/>
      <c r="G3" s="22"/>
      <c r="H3" s="22"/>
      <c r="I3" s="22"/>
      <c r="J3" s="22"/>
    </row>
    <row r="5" spans="1:11" ht="14.4">
      <c r="A5" s="2" t="s">
        <v>7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17</v>
      </c>
      <c r="K5" s="2" t="s">
        <v>19</v>
      </c>
    </row>
    <row r="6" spans="1:11" ht="14.4">
      <c r="A6" s="5" t="s">
        <v>21</v>
      </c>
      <c r="B6" s="5">
        <v>120</v>
      </c>
      <c r="C6" s="5">
        <v>140</v>
      </c>
      <c r="D6" s="5">
        <v>145</v>
      </c>
      <c r="E6" s="5">
        <v>145</v>
      </c>
      <c r="F6" s="5">
        <v>148</v>
      </c>
      <c r="G6" s="5">
        <v>150</v>
      </c>
      <c r="H6" s="5">
        <v>150</v>
      </c>
      <c r="I6" s="5">
        <v>150</v>
      </c>
      <c r="J6" s="5">
        <v>155</v>
      </c>
      <c r="K6" s="7">
        <f t="shared" ref="K6:K8" si="0">MEDIAN(B6:J6)</f>
        <v>148</v>
      </c>
    </row>
    <row r="7" spans="1:11" ht="14.4">
      <c r="A7" s="5" t="s">
        <v>30</v>
      </c>
      <c r="B7" s="5">
        <v>155</v>
      </c>
      <c r="C7" s="5">
        <v>155</v>
      </c>
      <c r="D7" s="5">
        <v>155</v>
      </c>
      <c r="E7" s="5">
        <v>160</v>
      </c>
      <c r="F7" s="5">
        <v>160</v>
      </c>
      <c r="G7" s="5">
        <v>165</v>
      </c>
      <c r="H7" s="5">
        <v>170</v>
      </c>
      <c r="I7" s="5">
        <v>170</v>
      </c>
      <c r="J7" s="5">
        <v>175</v>
      </c>
      <c r="K7" s="7">
        <f t="shared" si="0"/>
        <v>160</v>
      </c>
    </row>
    <row r="8" spans="1:11" ht="14.4">
      <c r="A8" s="5" t="s">
        <v>33</v>
      </c>
      <c r="B8" s="5">
        <v>175</v>
      </c>
      <c r="C8" s="5">
        <v>175</v>
      </c>
      <c r="D8" s="5">
        <v>175</v>
      </c>
      <c r="E8" s="5">
        <v>180</v>
      </c>
      <c r="F8" s="5">
        <v>190</v>
      </c>
      <c r="G8" s="5">
        <v>200</v>
      </c>
      <c r="H8" s="5">
        <v>210</v>
      </c>
      <c r="I8" s="5">
        <v>230</v>
      </c>
      <c r="J8" s="5">
        <v>300</v>
      </c>
      <c r="K8" s="7">
        <f t="shared" si="0"/>
        <v>190</v>
      </c>
    </row>
    <row r="10" spans="1:11" ht="14.4">
      <c r="A10" s="24" t="s">
        <v>34</v>
      </c>
      <c r="B10" s="22"/>
      <c r="C10" s="22"/>
      <c r="D10" s="22"/>
      <c r="E10" s="22"/>
      <c r="F10" s="22"/>
      <c r="G10" s="22"/>
      <c r="H10" s="22"/>
      <c r="I10" s="22"/>
      <c r="J10" s="22"/>
    </row>
    <row r="11" spans="1:11" ht="14.4">
      <c r="A11" s="5" t="s">
        <v>35</v>
      </c>
      <c r="B11" s="12">
        <f t="shared" ref="B11:J11" si="1">$K$6</f>
        <v>148</v>
      </c>
      <c r="C11" s="12">
        <f t="shared" si="1"/>
        <v>148</v>
      </c>
      <c r="D11" s="12">
        <f t="shared" si="1"/>
        <v>148</v>
      </c>
      <c r="E11" s="12">
        <f t="shared" si="1"/>
        <v>148</v>
      </c>
      <c r="F11" s="12">
        <f t="shared" si="1"/>
        <v>148</v>
      </c>
      <c r="G11" s="12">
        <f t="shared" si="1"/>
        <v>148</v>
      </c>
      <c r="H11" s="12">
        <f t="shared" si="1"/>
        <v>148</v>
      </c>
      <c r="I11" s="12">
        <f t="shared" si="1"/>
        <v>148</v>
      </c>
      <c r="J11" s="12">
        <f t="shared" si="1"/>
        <v>148</v>
      </c>
    </row>
    <row r="12" spans="1:11" ht="14.4">
      <c r="A12" s="5" t="s">
        <v>36</v>
      </c>
      <c r="B12" s="12">
        <f t="shared" ref="B12:J12" si="2">$K$7</f>
        <v>160</v>
      </c>
      <c r="C12" s="12">
        <f t="shared" si="2"/>
        <v>160</v>
      </c>
      <c r="D12" s="12">
        <f t="shared" si="2"/>
        <v>160</v>
      </c>
      <c r="E12" s="12">
        <f t="shared" si="2"/>
        <v>160</v>
      </c>
      <c r="F12" s="12">
        <f t="shared" si="2"/>
        <v>160</v>
      </c>
      <c r="G12" s="12">
        <f t="shared" si="2"/>
        <v>160</v>
      </c>
      <c r="H12" s="12">
        <f t="shared" si="2"/>
        <v>160</v>
      </c>
      <c r="I12" s="12">
        <f t="shared" si="2"/>
        <v>160</v>
      </c>
      <c r="J12" s="12">
        <f t="shared" si="2"/>
        <v>160</v>
      </c>
    </row>
    <row r="13" spans="1:11" ht="14.4">
      <c r="A13" s="5" t="s">
        <v>44</v>
      </c>
      <c r="B13" s="12">
        <f t="shared" ref="B13:J13" si="3">$K$8</f>
        <v>190</v>
      </c>
      <c r="C13" s="12">
        <f t="shared" si="3"/>
        <v>190</v>
      </c>
      <c r="D13" s="12">
        <f t="shared" si="3"/>
        <v>190</v>
      </c>
      <c r="E13" s="12">
        <f t="shared" si="3"/>
        <v>190</v>
      </c>
      <c r="F13" s="12">
        <f t="shared" si="3"/>
        <v>190</v>
      </c>
      <c r="G13" s="12">
        <f t="shared" si="3"/>
        <v>190</v>
      </c>
      <c r="H13" s="12">
        <f t="shared" si="3"/>
        <v>190</v>
      </c>
      <c r="I13" s="12">
        <f t="shared" si="3"/>
        <v>190</v>
      </c>
      <c r="J13" s="12">
        <f t="shared" si="3"/>
        <v>190</v>
      </c>
    </row>
    <row r="16" spans="1:11" ht="14.4">
      <c r="A16" s="25" t="s">
        <v>45</v>
      </c>
      <c r="B16" s="22"/>
      <c r="C16" s="22"/>
      <c r="D16" s="22"/>
      <c r="E16" s="22"/>
      <c r="F16" s="22"/>
      <c r="G16" s="22"/>
      <c r="H16" s="22"/>
      <c r="I16" s="22"/>
      <c r="J16" s="2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J1"/>
    <mergeCell ref="A3:J3"/>
    <mergeCell ref="A10:J10"/>
    <mergeCell ref="A16:J16"/>
  </mergeCells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/>
  </sheetViews>
  <sheetFormatPr defaultColWidth="14.44140625" defaultRowHeight="15" customHeight="1"/>
  <cols>
    <col min="1" max="1" width="54.109375" customWidth="1"/>
    <col min="2" max="2" width="12" customWidth="1"/>
    <col min="3" max="5" width="16" customWidth="1"/>
    <col min="6" max="26" width="8.6640625" customWidth="1"/>
  </cols>
  <sheetData>
    <row r="1" spans="1:5" ht="25.5" customHeight="1">
      <c r="A1" s="18" t="s">
        <v>55</v>
      </c>
      <c r="B1" s="19"/>
      <c r="C1" s="19"/>
      <c r="D1" s="19"/>
      <c r="E1" s="20"/>
    </row>
    <row r="3" spans="1:5" ht="14.4">
      <c r="A3" s="1" t="s">
        <v>56</v>
      </c>
    </row>
    <row r="5" spans="1:5" ht="14.4">
      <c r="A5" s="2" t="s">
        <v>57</v>
      </c>
      <c r="B5" s="2" t="s">
        <v>58</v>
      </c>
      <c r="C5" s="2" t="s">
        <v>59</v>
      </c>
      <c r="D5" s="2" t="s">
        <v>60</v>
      </c>
      <c r="E5" s="2" t="s">
        <v>61</v>
      </c>
    </row>
    <row r="6" spans="1:5" ht="14.4">
      <c r="A6" s="5">
        <v>1</v>
      </c>
      <c r="B6" s="5">
        <v>18</v>
      </c>
      <c r="C6" s="15">
        <f t="shared" ref="C6:C15" si="0">B6-$B$17</f>
        <v>-15</v>
      </c>
      <c r="D6" s="15">
        <f t="shared" ref="D6:D15" si="1">ABS(C6)</f>
        <v>15</v>
      </c>
      <c r="E6" s="15">
        <f t="shared" ref="E6:E15" si="2">C6^2</f>
        <v>225</v>
      </c>
    </row>
    <row r="7" spans="1:5" ht="14.4">
      <c r="A7" s="5">
        <v>2</v>
      </c>
      <c r="B7" s="5">
        <v>22</v>
      </c>
      <c r="C7" s="15">
        <f t="shared" si="0"/>
        <v>-11</v>
      </c>
      <c r="D7" s="15">
        <f t="shared" si="1"/>
        <v>11</v>
      </c>
      <c r="E7" s="15">
        <f t="shared" si="2"/>
        <v>121</v>
      </c>
    </row>
    <row r="8" spans="1:5" ht="14.4">
      <c r="A8" s="5">
        <v>3</v>
      </c>
      <c r="B8" s="5">
        <v>25</v>
      </c>
      <c r="C8" s="15">
        <f t="shared" si="0"/>
        <v>-8</v>
      </c>
      <c r="D8" s="15">
        <f t="shared" si="1"/>
        <v>8</v>
      </c>
      <c r="E8" s="15">
        <f t="shared" si="2"/>
        <v>64</v>
      </c>
    </row>
    <row r="9" spans="1:5" ht="14.4">
      <c r="A9" s="5">
        <v>4</v>
      </c>
      <c r="B9" s="5">
        <v>42</v>
      </c>
      <c r="C9" s="15">
        <f t="shared" si="0"/>
        <v>9</v>
      </c>
      <c r="D9" s="15">
        <f t="shared" si="1"/>
        <v>9</v>
      </c>
      <c r="E9" s="15">
        <f t="shared" si="2"/>
        <v>81</v>
      </c>
    </row>
    <row r="10" spans="1:5" ht="14.4">
      <c r="A10" s="5">
        <v>5</v>
      </c>
      <c r="B10" s="5">
        <v>28</v>
      </c>
      <c r="C10" s="15">
        <f t="shared" si="0"/>
        <v>-5</v>
      </c>
      <c r="D10" s="15">
        <f t="shared" si="1"/>
        <v>5</v>
      </c>
      <c r="E10" s="15">
        <f t="shared" si="2"/>
        <v>25</v>
      </c>
    </row>
    <row r="11" spans="1:5" ht="14.4">
      <c r="A11" s="5">
        <v>6</v>
      </c>
      <c r="B11" s="5">
        <v>43</v>
      </c>
      <c r="C11" s="15">
        <f t="shared" si="0"/>
        <v>10</v>
      </c>
      <c r="D11" s="15">
        <f t="shared" si="1"/>
        <v>10</v>
      </c>
      <c r="E11" s="15">
        <f t="shared" si="2"/>
        <v>100</v>
      </c>
    </row>
    <row r="12" spans="1:5" ht="14.4">
      <c r="A12" s="5">
        <v>7</v>
      </c>
      <c r="B12" s="5">
        <v>33</v>
      </c>
      <c r="C12" s="15">
        <f t="shared" si="0"/>
        <v>0</v>
      </c>
      <c r="D12" s="15">
        <f t="shared" si="1"/>
        <v>0</v>
      </c>
      <c r="E12" s="15">
        <f t="shared" si="2"/>
        <v>0</v>
      </c>
    </row>
    <row r="13" spans="1:5" ht="14.4">
      <c r="A13" s="5">
        <v>8</v>
      </c>
      <c r="B13" s="5">
        <v>35</v>
      </c>
      <c r="C13" s="15">
        <f t="shared" si="0"/>
        <v>2</v>
      </c>
      <c r="D13" s="15">
        <f t="shared" si="1"/>
        <v>2</v>
      </c>
      <c r="E13" s="15">
        <f t="shared" si="2"/>
        <v>4</v>
      </c>
    </row>
    <row r="14" spans="1:5" ht="14.4">
      <c r="A14" s="5">
        <v>9</v>
      </c>
      <c r="B14" s="5">
        <v>56</v>
      </c>
      <c r="C14" s="15">
        <f t="shared" si="0"/>
        <v>23</v>
      </c>
      <c r="D14" s="15">
        <f t="shared" si="1"/>
        <v>23</v>
      </c>
      <c r="E14" s="15">
        <f t="shared" si="2"/>
        <v>529</v>
      </c>
    </row>
    <row r="15" spans="1:5" ht="14.4">
      <c r="A15" s="5">
        <v>10</v>
      </c>
      <c r="B15" s="5">
        <v>28</v>
      </c>
      <c r="C15" s="15">
        <f t="shared" si="0"/>
        <v>-5</v>
      </c>
      <c r="D15" s="15">
        <f t="shared" si="1"/>
        <v>5</v>
      </c>
      <c r="E15" s="15">
        <f t="shared" si="2"/>
        <v>25</v>
      </c>
    </row>
    <row r="16" spans="1:5" ht="14.4">
      <c r="A16" s="3" t="s">
        <v>62</v>
      </c>
      <c r="B16" s="6">
        <f>COUNT(B6:B15)</f>
        <v>10</v>
      </c>
    </row>
    <row r="17" spans="1:5" ht="14.4">
      <c r="A17" s="3" t="s">
        <v>46</v>
      </c>
      <c r="B17" s="8">
        <f>AVERAGE(B6:B15)</f>
        <v>33</v>
      </c>
    </row>
    <row r="19" spans="1:5" ht="14.4">
      <c r="A19" s="3" t="s">
        <v>63</v>
      </c>
      <c r="B19" s="8">
        <f>SUM(D6:D15)</f>
        <v>88</v>
      </c>
    </row>
    <row r="20" spans="1:5" ht="14.4">
      <c r="A20" s="3" t="s">
        <v>64</v>
      </c>
      <c r="B20" s="8">
        <f>B19/B16</f>
        <v>8.8000000000000007</v>
      </c>
    </row>
    <row r="21" spans="1:5" ht="15.75" customHeight="1"/>
    <row r="22" spans="1:5" ht="15.75" customHeight="1">
      <c r="A22" s="3" t="s">
        <v>65</v>
      </c>
      <c r="B22" s="8">
        <f>SUM(E6:E15)</f>
        <v>1174</v>
      </c>
    </row>
    <row r="23" spans="1:5" ht="15.75" customHeight="1">
      <c r="A23" s="3" t="s">
        <v>66</v>
      </c>
      <c r="B23" s="8">
        <f>B22/B16</f>
        <v>117.4</v>
      </c>
    </row>
    <row r="24" spans="1:5" ht="15.75" customHeight="1">
      <c r="A24" s="3" t="s">
        <v>67</v>
      </c>
      <c r="B24" s="16">
        <f>SQRT(B23)</f>
        <v>10.83512805646523</v>
      </c>
    </row>
    <row r="25" spans="1:5" ht="15.75" customHeight="1"/>
    <row r="26" spans="1:5" ht="15.75" customHeight="1">
      <c r="A26" s="24" t="s">
        <v>68</v>
      </c>
      <c r="B26" s="22"/>
      <c r="C26" s="22"/>
      <c r="D26" s="22"/>
      <c r="E26" s="22"/>
    </row>
    <row r="27" spans="1:5" ht="15.75" customHeight="1">
      <c r="A27" s="2" t="s">
        <v>57</v>
      </c>
      <c r="B27" s="2" t="s">
        <v>58</v>
      </c>
      <c r="C27" s="2" t="s">
        <v>59</v>
      </c>
      <c r="D27" s="2" t="s">
        <v>69</v>
      </c>
      <c r="E27" s="2" t="s">
        <v>70</v>
      </c>
    </row>
    <row r="28" spans="1:5" ht="15.75" customHeight="1">
      <c r="A28" s="5">
        <v>1</v>
      </c>
      <c r="B28" s="5">
        <f t="shared" ref="B28:C28" si="3">B6</f>
        <v>18</v>
      </c>
      <c r="C28" s="15">
        <f t="shared" si="3"/>
        <v>-15</v>
      </c>
      <c r="D28" s="9">
        <f t="shared" ref="D28:D31" si="4">$B$24</f>
        <v>10.83512805646523</v>
      </c>
      <c r="E28" s="16">
        <f t="shared" ref="E28:E31" si="5">C28/D28</f>
        <v>-1.3843860378788626</v>
      </c>
    </row>
    <row r="29" spans="1:5" ht="15.75" customHeight="1">
      <c r="A29" s="5">
        <v>2</v>
      </c>
      <c r="B29" s="5">
        <f t="shared" ref="B29:C29" si="6">B7</f>
        <v>22</v>
      </c>
      <c r="C29" s="15">
        <f t="shared" si="6"/>
        <v>-11</v>
      </c>
      <c r="D29" s="9">
        <f t="shared" si="4"/>
        <v>10.83512805646523</v>
      </c>
      <c r="E29" s="16">
        <f t="shared" si="5"/>
        <v>-1.0152164277778326</v>
      </c>
    </row>
    <row r="30" spans="1:5" ht="15.75" customHeight="1">
      <c r="A30" s="5">
        <v>3</v>
      </c>
      <c r="B30" s="5">
        <f t="shared" ref="B30:C30" si="7">B8</f>
        <v>25</v>
      </c>
      <c r="C30" s="15">
        <f t="shared" si="7"/>
        <v>-8</v>
      </c>
      <c r="D30" s="9">
        <f t="shared" si="4"/>
        <v>10.83512805646523</v>
      </c>
      <c r="E30" s="16">
        <f t="shared" si="5"/>
        <v>-0.73833922020206</v>
      </c>
    </row>
    <row r="31" spans="1:5" ht="15.75" customHeight="1">
      <c r="A31" s="5">
        <v>4</v>
      </c>
      <c r="B31" s="5">
        <f t="shared" ref="B31:C31" si="8">B9</f>
        <v>42</v>
      </c>
      <c r="C31" s="15">
        <f t="shared" si="8"/>
        <v>9</v>
      </c>
      <c r="D31" s="9">
        <f t="shared" si="4"/>
        <v>10.83512805646523</v>
      </c>
      <c r="E31" s="16">
        <f t="shared" si="5"/>
        <v>0.8306316227273175</v>
      </c>
    </row>
    <row r="32" spans="1:5" ht="15.75" customHeight="1"/>
    <row r="33" spans="1:5" ht="21.75" customHeight="1">
      <c r="A33" s="27" t="s">
        <v>71</v>
      </c>
      <c r="B33" s="22"/>
      <c r="C33" s="22"/>
      <c r="D33" s="22"/>
      <c r="E33" s="22"/>
    </row>
    <row r="34" spans="1:5" ht="15.75" customHeight="1"/>
    <row r="35" spans="1:5" ht="15.75" customHeight="1"/>
    <row r="36" spans="1:5" ht="15.75" customHeight="1"/>
    <row r="37" spans="1:5" ht="15.75" customHeight="1"/>
    <row r="38" spans="1:5" ht="15.75" customHeight="1"/>
    <row r="39" spans="1:5" ht="15.75" customHeight="1"/>
    <row r="40" spans="1:5" ht="15.75" customHeight="1"/>
    <row r="41" spans="1:5" ht="15.75" customHeight="1"/>
    <row r="42" spans="1:5" ht="15.75" customHeight="1"/>
    <row r="43" spans="1:5" ht="15.75" customHeight="1"/>
    <row r="44" spans="1:5" ht="15.75" customHeight="1"/>
    <row r="45" spans="1:5" ht="15.75" customHeight="1"/>
    <row r="46" spans="1:5" ht="15.75" customHeight="1"/>
    <row r="47" spans="1:5" ht="15.75" customHeight="1"/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E1"/>
    <mergeCell ref="A26:E26"/>
    <mergeCell ref="A33:E33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Covariance Analysis</vt:lpstr>
      <vt:lpstr>2. Equal-Frequency Binning</vt:lpstr>
      <vt:lpstr>3. Equal-Width Binning</vt:lpstr>
      <vt:lpstr>4. Bin Medians</vt:lpstr>
      <vt:lpstr>5. Standardization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Heisenberg Raja</dc:creator>
  <cp:lastModifiedBy>Heisenberg Raja</cp:lastModifiedBy>
  <dcterms:created xsi:type="dcterms:W3CDTF">2026-08-04T17:51:24Z</dcterms:created>
  <dcterms:modified xsi:type="dcterms:W3CDTF">2026-08-04T17:51:24Z</dcterms:modified>
</cp:coreProperties>
</file>